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anfield-my.sharepoint.com/personal/thomas_jaouen_666_cranfield_ac_uk/Documents/IRP/Parametric design/"/>
    </mc:Choice>
  </mc:AlternateContent>
  <xr:revisionPtr revIDLastSave="135" documentId="13_ncr:1_{4E5B06D8-EE70-4FDD-9969-7AAD72C448EC}" xr6:coauthVersionLast="47" xr6:coauthVersionMax="47" xr10:uidLastSave="{6E012863-E633-40AA-B159-13E604847B33}"/>
  <bookViews>
    <workbookView xWindow="-110" yWindow="-110" windowWidth="19420" windowHeight="10300" activeTab="1" xr2:uid="{766FD1B4-436B-4B90-A0AA-8FC1B394A31F}"/>
  </bookViews>
  <sheets>
    <sheet name="&amp;README&amp;" sheetId="3" r:id="rId1"/>
    <sheet name="Parameters" sheetId="1" r:id="rId2"/>
    <sheet name="Predefined values 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" l="1"/>
  <c r="D13" i="1" s="1"/>
  <c r="D50" i="1"/>
  <c r="D47" i="1"/>
  <c r="D63" i="1" s="1"/>
  <c r="D33" i="1"/>
  <c r="D30" i="1"/>
  <c r="D31" i="1"/>
  <c r="K12" i="1"/>
  <c r="D66" i="1" l="1"/>
  <c r="D12" i="1"/>
  <c r="D22" i="1" s="1"/>
  <c r="D67" i="1" s="1"/>
  <c r="D34" i="1"/>
  <c r="D14" i="1" l="1"/>
  <c r="D18" i="1" s="1"/>
  <c r="D16" i="1" l="1"/>
</calcChain>
</file>

<file path=xl/sharedStrings.xml><?xml version="1.0" encoding="utf-8"?>
<sst xmlns="http://schemas.openxmlformats.org/spreadsheetml/2006/main" count="259" uniqueCount="163">
  <si>
    <t>Value</t>
  </si>
  <si>
    <t>Parameters Name</t>
  </si>
  <si>
    <t xml:space="preserve">Pressure Vessel Wall thickness </t>
  </si>
  <si>
    <t xml:space="preserve">Avionics Unit </t>
  </si>
  <si>
    <t>Parameters</t>
  </si>
  <si>
    <t>Pressure vessel</t>
  </si>
  <si>
    <t>PV_width</t>
  </si>
  <si>
    <t xml:space="preserve">Pressure vessel width </t>
  </si>
  <si>
    <t xml:space="preserve">Pressure vessel  depth </t>
  </si>
  <si>
    <t xml:space="preserve">PV_depth </t>
  </si>
  <si>
    <t>PV_length</t>
  </si>
  <si>
    <t xml:space="preserve">pay_width </t>
  </si>
  <si>
    <t xml:space="preserve">pay_depth </t>
  </si>
  <si>
    <t xml:space="preserve">Caption </t>
  </si>
  <si>
    <t xml:space="preserve">Can be modified </t>
  </si>
  <si>
    <t>Automatically adapted</t>
  </si>
  <si>
    <t>Electrical interface</t>
  </si>
  <si>
    <t>Note</t>
  </si>
  <si>
    <t>Only on one edge</t>
  </si>
  <si>
    <t>Pressure vessel length (mm)</t>
  </si>
  <si>
    <t>Pressure Vessel Screw hole</t>
  </si>
  <si>
    <t>Parameter</t>
  </si>
  <si>
    <t>Name in CATIA</t>
  </si>
  <si>
    <t>Pressure Vessel Screw on Width</t>
  </si>
  <si>
    <t>Pressure Vessel Screw on depth</t>
  </si>
  <si>
    <t xml:space="preserve">PV_Screw_dia </t>
  </si>
  <si>
    <t>PV_Screw_length</t>
  </si>
  <si>
    <t>Pressure Vessel Screw length</t>
  </si>
  <si>
    <t>PV_nb_of_Screw_width</t>
  </si>
  <si>
    <t>PV_nb_of_Screw_depth</t>
  </si>
  <si>
    <t>Distance between Screw depth</t>
  </si>
  <si>
    <t>PV_distance_depth</t>
  </si>
  <si>
    <t>Distance between Screw Width</t>
  </si>
  <si>
    <t>PV_distance_width</t>
  </si>
  <si>
    <t xml:space="preserve">PV_wall </t>
  </si>
  <si>
    <t xml:space="preserve">Pressure Vessel Screw Hole positionning </t>
  </si>
  <si>
    <t xml:space="preserve">Pressure Vessel Contact surface </t>
  </si>
  <si>
    <t xml:space="preserve">PV_Screw_positioning </t>
  </si>
  <si>
    <t xml:space="preserve">PV_contact_surface </t>
  </si>
  <si>
    <t>Screw diameter (iso convention M)</t>
  </si>
  <si>
    <t>M2</t>
  </si>
  <si>
    <t xml:space="preserve">This value is Important </t>
  </si>
  <si>
    <t xml:space="preserve">Recomandation </t>
  </si>
  <si>
    <t>Needs to be smaller than PV_contact_surface</t>
  </si>
  <si>
    <t xml:space="preserve">Internal Payload </t>
  </si>
  <si>
    <t>Internal Payload length</t>
  </si>
  <si>
    <t xml:space="preserve">Internal Payload width </t>
  </si>
  <si>
    <t xml:space="preserve">Internal Payload depth </t>
  </si>
  <si>
    <t>can not be bigger than PV_length</t>
  </si>
  <si>
    <t>Unit</t>
  </si>
  <si>
    <t>mm</t>
  </si>
  <si>
    <t>integer</t>
  </si>
  <si>
    <t xml:space="preserve">Internal Payload X position </t>
  </si>
  <si>
    <t xml:space="preserve">Internal Payload Y position </t>
  </si>
  <si>
    <t>Internal Payload Z position</t>
  </si>
  <si>
    <t>Internal Payload density</t>
  </si>
  <si>
    <t>kg/m3</t>
  </si>
  <si>
    <t>Assembly Internal Payload</t>
  </si>
  <si>
    <t xml:space="preserve">Internal Payload mass </t>
  </si>
  <si>
    <t xml:space="preserve">pay_X </t>
  </si>
  <si>
    <t xml:space="preserve">pay_y </t>
  </si>
  <si>
    <t xml:space="preserve">pay_Z </t>
  </si>
  <si>
    <t>pay_length</t>
  </si>
  <si>
    <t>Pressure Vessel lid thikness</t>
  </si>
  <si>
    <t>PV_lid_thickness</t>
  </si>
  <si>
    <t>kg</t>
  </si>
  <si>
    <t>The way to modify it with VBA was not found, the material needs to be updated directly in CATIA</t>
  </si>
  <si>
    <t>""</t>
  </si>
  <si>
    <t xml:space="preserve">Computed unsing the density </t>
  </si>
  <si>
    <t xml:space="preserve">Name in Catia </t>
  </si>
  <si>
    <t xml:space="preserve">Value </t>
  </si>
  <si>
    <t>Bus_length</t>
  </si>
  <si>
    <t>Bus_depth</t>
  </si>
  <si>
    <t xml:space="preserve">Bus Unit length </t>
  </si>
  <si>
    <t xml:space="preserve">Bus Unit width </t>
  </si>
  <si>
    <t xml:space="preserve">Bus Unit depth </t>
  </si>
  <si>
    <t>Bus_width</t>
  </si>
  <si>
    <t>Bus Unit wall thickness</t>
  </si>
  <si>
    <t>Bus_thickness</t>
  </si>
  <si>
    <t>Bus_fixing_screw_hole_dia</t>
  </si>
  <si>
    <t>Bus_screw_length</t>
  </si>
  <si>
    <t>Bus_screw_dia</t>
  </si>
  <si>
    <t>Same as PV</t>
  </si>
  <si>
    <t>iso</t>
  </si>
  <si>
    <t xml:space="preserve">Prob no need for long screw </t>
  </si>
  <si>
    <t>Internal bus Payload X position</t>
  </si>
  <si>
    <t>Internal bus Payload Y position</t>
  </si>
  <si>
    <t>Internal bus Payload Z position</t>
  </si>
  <si>
    <t>Bus_payload_X</t>
  </si>
  <si>
    <t>Bus_payload_Y</t>
  </si>
  <si>
    <t>Bus_payload_Z</t>
  </si>
  <si>
    <t>Avionics Unit Internal Payload Assembly</t>
  </si>
  <si>
    <t>Bus_pay_length</t>
  </si>
  <si>
    <t xml:space="preserve">Bus_pay_width </t>
  </si>
  <si>
    <t>Bus_pay_depth</t>
  </si>
  <si>
    <t>Internal bus payload length</t>
  </si>
  <si>
    <t>Internal bus payload width</t>
  </si>
  <si>
    <t>Internal bus Payload depth</t>
  </si>
  <si>
    <t>Use ISO convention Mxdiameter +check if the value is available in CATIA</t>
  </si>
  <si>
    <t xml:space="preserve">Avionics Unit Internal Payload </t>
  </si>
  <si>
    <t>Stud</t>
  </si>
  <si>
    <t>Stud_length</t>
  </si>
  <si>
    <t>Stud_dia</t>
  </si>
  <si>
    <t>Stud_screwpay_length</t>
  </si>
  <si>
    <t>Stud_screwpay_dia</t>
  </si>
  <si>
    <t>Stud_screwplate_length</t>
  </si>
  <si>
    <t>Stud_screwplate_dia</t>
  </si>
  <si>
    <t>Adaptor Plate</t>
  </si>
  <si>
    <t>Plate_length</t>
  </si>
  <si>
    <t xml:space="preserve">Plate_thickness </t>
  </si>
  <si>
    <t>Plate_width</t>
  </si>
  <si>
    <t>M4</t>
  </si>
  <si>
    <t xml:space="preserve">Stud_screwplate_plate_hole </t>
  </si>
  <si>
    <t>PV_Screw_hole_dia</t>
  </si>
  <si>
    <t>int</t>
  </si>
  <si>
    <t>Stud_screwpay_dia_hole</t>
  </si>
  <si>
    <t>Value 3 times the biggest screw diameters (between )</t>
  </si>
  <si>
    <t>Nb_of_stud_length</t>
  </si>
  <si>
    <t>Nb_of_stud_depth</t>
  </si>
  <si>
    <t>distance_stud_length</t>
  </si>
  <si>
    <t>distance_stud_depth</t>
  </si>
  <si>
    <t xml:space="preserve">Stud_positioning </t>
  </si>
  <si>
    <t>Plate_fixing_position_length</t>
  </si>
  <si>
    <t>Plate_fixing_position_width</t>
  </si>
  <si>
    <t xml:space="preserve">Make sure this is inside the plate dimmension </t>
  </si>
  <si>
    <t>Pressure Vessel Stiffener</t>
  </si>
  <si>
    <t>PV_stif</t>
  </si>
  <si>
    <t>Pressure vessel elecrical interface X coordinate</t>
  </si>
  <si>
    <t>Pressure vessel elecrical interface angle</t>
  </si>
  <si>
    <t>Pressure vessel elecrical interface Y coordinate</t>
  </si>
  <si>
    <t>PV_EI_X</t>
  </si>
  <si>
    <t>PV_EI_Y</t>
  </si>
  <si>
    <t>PV_EI_r</t>
  </si>
  <si>
    <t>deg</t>
  </si>
  <si>
    <t xml:space="preserve">If the interface is outside the lid, it will not work </t>
  </si>
  <si>
    <t>Can be modified : good value is 2xPV_screw_dia_hole</t>
  </si>
  <si>
    <t>DON'T CHANGE</t>
  </si>
  <si>
    <t>DON'T CHANGE : just in case Depth =! Width</t>
  </si>
  <si>
    <t xml:space="preserve">Can be modified Recomanded to be =PV_contact_surface </t>
  </si>
  <si>
    <t xml:space="preserve">Important value </t>
  </si>
  <si>
    <t>Care, it  does not corespond to other width</t>
  </si>
  <si>
    <t>Same as F59</t>
  </si>
  <si>
    <t>It is important to undertand that standing pods in corners shall be counted twice</t>
  </si>
  <si>
    <t>Plate length</t>
  </si>
  <si>
    <t>Plate width</t>
  </si>
  <si>
    <t>Plate thickness</t>
  </si>
  <si>
    <t xml:space="preserve">Position of the pressure Vessel regarding the plate length </t>
  </si>
  <si>
    <t>Position of the pressure Vessel regarding the plate width</t>
  </si>
  <si>
    <t xml:space="preserve"> Length of the middle part of the standing point</t>
  </si>
  <si>
    <t>Dia of the middle part of the standing point</t>
  </si>
  <si>
    <t xml:space="preserve">Screw length in the pressure vessel </t>
  </si>
  <si>
    <t xml:space="preserve">Hole in the pressure vessel </t>
  </si>
  <si>
    <t>Screw length in the plate length</t>
  </si>
  <si>
    <t>Hole in the plate</t>
  </si>
  <si>
    <t>Screw Length to fix the front plate of the bus</t>
  </si>
  <si>
    <t>Screw diameter to fix the front plate of the bus</t>
  </si>
  <si>
    <t xml:space="preserve">Here to avoid any probleme with the screw fixing the lids </t>
  </si>
  <si>
    <t xml:space="preserve">Position of the stud on the pressure vessel </t>
  </si>
  <si>
    <t>Number of Stud in Length</t>
  </si>
  <si>
    <t>Number of Stud in length</t>
  </si>
  <si>
    <t>Distance between 2 stud in length</t>
  </si>
  <si>
    <t>Distance between 2 stud in depth</t>
  </si>
  <si>
    <t>Do not change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</si>
</sst>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3" borderId="7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2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9" xfId="0" applyBorder="1" applyAlignment="1">
      <alignment vertical="center"/>
    </xf>
    <xf numFmtId="0" fontId="0" fillId="0" borderId="11" xfId="0" applyBorder="1"/>
    <xf numFmtId="0" fontId="0" fillId="0" borderId="5" xfId="0" applyBorder="1"/>
    <xf numFmtId="164" fontId="0" fillId="3" borderId="5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/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2" borderId="4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85725</xdr:rowOff>
    </xdr:from>
    <xdr:to>
      <xdr:col>4</xdr:col>
      <xdr:colOff>142875</xdr:colOff>
      <xdr:row>4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" y="85725"/>
          <a:ext cx="2390775" cy="714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Creator</a:t>
          </a:r>
          <a:r>
            <a:rPr lang="fr-FR" sz="1100" baseline="0"/>
            <a:t> : Thomas Jaouën </a:t>
          </a:r>
        </a:p>
        <a:p>
          <a:r>
            <a:rPr lang="fr-FR" sz="1100" baseline="0"/>
            <a:t>Last update by : Thomas Jaouën </a:t>
          </a:r>
        </a:p>
        <a:p>
          <a:r>
            <a:rPr lang="fr-FR" sz="1100" baseline="0"/>
            <a:t>Last update date : 23/06/2023</a:t>
          </a:r>
        </a:p>
        <a:p>
          <a:endParaRPr lang="fr-FR" sz="1100"/>
        </a:p>
      </xdr:txBody>
    </xdr:sp>
    <xdr:clientData/>
  </xdr:twoCellAnchor>
  <xdr:twoCellAnchor>
    <xdr:from>
      <xdr:col>0</xdr:col>
      <xdr:colOff>342900</xdr:colOff>
      <xdr:row>6</xdr:row>
      <xdr:rowOff>47625</xdr:rowOff>
    </xdr:from>
    <xdr:to>
      <xdr:col>7</xdr:col>
      <xdr:colOff>371475</xdr:colOff>
      <xdr:row>7</xdr:row>
      <xdr:rowOff>171450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42900" y="1190625"/>
          <a:ext cx="42957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This sheet is</a:t>
          </a:r>
          <a:r>
            <a:rPr lang="fr-FR" sz="1100" baseline="0"/>
            <a:t> here to explain the set up to make the document work</a:t>
          </a:r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0</xdr:col>
      <xdr:colOff>333375</xdr:colOff>
      <xdr:row>8</xdr:row>
      <xdr:rowOff>123825</xdr:rowOff>
    </xdr:from>
    <xdr:to>
      <xdr:col>4</xdr:col>
      <xdr:colOff>342900</xdr:colOff>
      <xdr:row>10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33375" y="1647825"/>
          <a:ext cx="24479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STEP 1</a:t>
          </a:r>
          <a:r>
            <a:rPr lang="fr-FR" sz="1100" baseline="0"/>
            <a:t> : Verify that macro are avaible</a:t>
          </a:r>
          <a:endParaRPr lang="fr-FR" sz="1100"/>
        </a:p>
      </xdr:txBody>
    </xdr:sp>
    <xdr:clientData/>
  </xdr:twoCellAnchor>
  <xdr:twoCellAnchor>
    <xdr:from>
      <xdr:col>0</xdr:col>
      <xdr:colOff>342900</xdr:colOff>
      <xdr:row>10</xdr:row>
      <xdr:rowOff>152400</xdr:rowOff>
    </xdr:from>
    <xdr:to>
      <xdr:col>10</xdr:col>
      <xdr:colOff>295275</xdr:colOff>
      <xdr:row>14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42900" y="2057400"/>
          <a:ext cx="6048375" cy="714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Go to "</a:t>
          </a:r>
          <a:r>
            <a:rPr lang="fr-FR" sz="1100" b="1" baseline="0"/>
            <a:t>file</a:t>
          </a:r>
          <a:r>
            <a:rPr lang="fr-FR" sz="1100" baseline="0"/>
            <a:t>", then click on "</a:t>
          </a:r>
          <a:r>
            <a:rPr lang="fr-FR" sz="1100" b="1" baseline="0"/>
            <a:t>options</a:t>
          </a:r>
          <a:r>
            <a:rPr lang="fr-FR" sz="1100" baseline="0"/>
            <a:t>", then on "</a:t>
          </a:r>
          <a:r>
            <a:rPr lang="fr-FR" sz="1100" b="1" baseline="0"/>
            <a:t>trust center</a:t>
          </a:r>
          <a:r>
            <a:rPr lang="fr-FR" sz="1100" baseline="0"/>
            <a:t>", open "</a:t>
          </a:r>
          <a:r>
            <a:rPr lang="fr-FR" sz="1100" b="1" baseline="0"/>
            <a:t>trust center settings</a:t>
          </a:r>
          <a:r>
            <a:rPr lang="fr-FR" sz="1100" baseline="0"/>
            <a:t>". </a:t>
          </a:r>
        </a:p>
        <a:p>
          <a:r>
            <a:rPr lang="fr-FR" sz="1100" baseline="0"/>
            <a:t>In the left list click on "</a:t>
          </a:r>
          <a:r>
            <a:rPr lang="fr-FR" sz="1100" b="1" baseline="0"/>
            <a:t>maccro settings</a:t>
          </a:r>
          <a:r>
            <a:rPr lang="fr-FR" sz="1100" baseline="0"/>
            <a:t>". </a:t>
          </a:r>
        </a:p>
        <a:p>
          <a:r>
            <a:rPr lang="fr-FR" sz="1100" baseline="0"/>
            <a:t>Finally select "</a:t>
          </a:r>
          <a:r>
            <a:rPr lang="fr-FR" sz="1100" b="1" baseline="0"/>
            <a:t>activate VBA macro</a:t>
          </a:r>
          <a:r>
            <a:rPr lang="fr-FR" sz="1100" baseline="0"/>
            <a:t>" </a:t>
          </a:r>
        </a:p>
        <a:p>
          <a:endParaRPr lang="fr-FR" sz="1100"/>
        </a:p>
      </xdr:txBody>
    </xdr:sp>
    <xdr:clientData/>
  </xdr:twoCellAnchor>
  <xdr:twoCellAnchor>
    <xdr:from>
      <xdr:col>0</xdr:col>
      <xdr:colOff>361950</xdr:colOff>
      <xdr:row>17</xdr:row>
      <xdr:rowOff>28576</xdr:rowOff>
    </xdr:from>
    <xdr:to>
      <xdr:col>10</xdr:col>
      <xdr:colOff>247650</xdr:colOff>
      <xdr:row>22</xdr:row>
      <xdr:rowOff>47626</xdr:rowOff>
    </xdr:to>
    <xdr:sp macro="" textlink="">
      <xdr:nvSpPr>
        <xdr:cNvPr id="6" name="TextBox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1950" y="3267076"/>
          <a:ext cx="5981700" cy="971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Press "</a:t>
          </a:r>
          <a:r>
            <a:rPr lang="fr-FR" sz="1100" b="1" baseline="0"/>
            <a:t>Alt + F11" </a:t>
          </a:r>
          <a:r>
            <a:rPr lang="fr-FR" sz="1100" baseline="0"/>
            <a:t>to open the VBA editor. (If nothing happen you can click on the button "</a:t>
          </a:r>
          <a:r>
            <a:rPr lang="fr-FR" sz="1100" b="1" baseline="0"/>
            <a:t>Update Catia</a:t>
          </a:r>
          <a:r>
            <a:rPr lang="fr-FR" sz="1100" baseline="0"/>
            <a:t>" in the sheet called "</a:t>
          </a:r>
          <a:r>
            <a:rPr lang="fr-FR" sz="1100" b="1" baseline="0"/>
            <a:t>Parameters</a:t>
          </a:r>
          <a:r>
            <a:rPr lang="fr-FR" sz="1100" baseline="0"/>
            <a:t>", it would probably show an error message, but the editor will open, click "</a:t>
          </a:r>
          <a:r>
            <a:rPr lang="fr-FR" sz="1100" b="1" baseline="0"/>
            <a:t>OK</a:t>
          </a:r>
          <a:r>
            <a:rPr lang="fr-FR" sz="1100" baseline="0"/>
            <a:t>" to close the window). </a:t>
          </a:r>
        </a:p>
        <a:p>
          <a:r>
            <a:rPr lang="fr-FR" sz="1100" baseline="0"/>
            <a:t> In the new window click on "</a:t>
          </a:r>
          <a:r>
            <a:rPr lang="fr-FR" sz="1100" b="1" baseline="0"/>
            <a:t>Tools</a:t>
          </a:r>
          <a:r>
            <a:rPr lang="fr-FR" sz="1100" baseline="0"/>
            <a:t>" and select "</a:t>
          </a:r>
          <a:r>
            <a:rPr lang="fr-FR" sz="1100" b="1" baseline="0"/>
            <a:t>References"</a:t>
          </a:r>
          <a:r>
            <a:rPr lang="fr-FR" sz="1100" baseline="0"/>
            <a:t>, on the list find "</a:t>
          </a:r>
          <a:r>
            <a:rPr lang="en-GB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CATIA V5 Type Library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and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finally click "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". </a:t>
          </a:r>
          <a:endParaRPr lang="fr-FR" sz="1100"/>
        </a:p>
      </xdr:txBody>
    </xdr:sp>
    <xdr:clientData/>
  </xdr:twoCellAnchor>
  <xdr:twoCellAnchor>
    <xdr:from>
      <xdr:col>0</xdr:col>
      <xdr:colOff>342900</xdr:colOff>
      <xdr:row>15</xdr:row>
      <xdr:rowOff>9525</xdr:rowOff>
    </xdr:from>
    <xdr:to>
      <xdr:col>4</xdr:col>
      <xdr:colOff>352425</xdr:colOff>
      <xdr:row>16</xdr:row>
      <xdr:rowOff>133350</xdr:rowOff>
    </xdr:to>
    <xdr:sp macro="" textlink="">
      <xdr:nvSpPr>
        <xdr:cNvPr id="7" name="TextBox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42900" y="2867025"/>
          <a:ext cx="24479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STEP 2</a:t>
          </a:r>
          <a:r>
            <a:rPr lang="fr-FR" sz="1100" baseline="0"/>
            <a:t> : Add the Catia librairie to Excel </a:t>
          </a:r>
        </a:p>
        <a:p>
          <a:endParaRPr lang="fr-FR" sz="1100"/>
        </a:p>
      </xdr:txBody>
    </xdr:sp>
    <xdr:clientData/>
  </xdr:twoCellAnchor>
  <xdr:twoCellAnchor>
    <xdr:from>
      <xdr:col>0</xdr:col>
      <xdr:colOff>352425</xdr:colOff>
      <xdr:row>22</xdr:row>
      <xdr:rowOff>152400</xdr:rowOff>
    </xdr:from>
    <xdr:to>
      <xdr:col>4</xdr:col>
      <xdr:colOff>361950</xdr:colOff>
      <xdr:row>24</xdr:row>
      <xdr:rowOff>85725</xdr:rowOff>
    </xdr:to>
    <xdr:sp macro="" textlink="">
      <xdr:nvSpPr>
        <xdr:cNvPr id="8" name="TextBox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52425" y="4343400"/>
          <a:ext cx="24479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STEP 3</a:t>
          </a:r>
          <a:r>
            <a:rPr lang="fr-FR" sz="1100" baseline="0"/>
            <a:t> : Open a Catia instance</a:t>
          </a:r>
        </a:p>
        <a:p>
          <a:endParaRPr lang="fr-FR" sz="1100"/>
        </a:p>
      </xdr:txBody>
    </xdr:sp>
    <xdr:clientData/>
  </xdr:twoCellAnchor>
  <xdr:twoCellAnchor>
    <xdr:from>
      <xdr:col>0</xdr:col>
      <xdr:colOff>352425</xdr:colOff>
      <xdr:row>25</xdr:row>
      <xdr:rowOff>0</xdr:rowOff>
    </xdr:from>
    <xdr:to>
      <xdr:col>4</xdr:col>
      <xdr:colOff>361950</xdr:colOff>
      <xdr:row>26</xdr:row>
      <xdr:rowOff>123825</xdr:rowOff>
    </xdr:to>
    <xdr:sp macro="" textlink="">
      <xdr:nvSpPr>
        <xdr:cNvPr id="9" name="TextBox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52425" y="4762500"/>
          <a:ext cx="244792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STEP 4</a:t>
          </a:r>
          <a:r>
            <a:rPr lang="fr-FR" sz="1100" baseline="0"/>
            <a:t> : Update the model </a:t>
          </a:r>
        </a:p>
        <a:p>
          <a:endParaRPr lang="fr-FR" sz="1100"/>
        </a:p>
      </xdr:txBody>
    </xdr:sp>
    <xdr:clientData/>
  </xdr:twoCellAnchor>
  <xdr:twoCellAnchor>
    <xdr:from>
      <xdr:col>0</xdr:col>
      <xdr:colOff>342900</xdr:colOff>
      <xdr:row>27</xdr:row>
      <xdr:rowOff>38100</xdr:rowOff>
    </xdr:from>
    <xdr:to>
      <xdr:col>10</xdr:col>
      <xdr:colOff>190500</xdr:colOff>
      <xdr:row>33</xdr:row>
      <xdr:rowOff>123826</xdr:rowOff>
    </xdr:to>
    <xdr:sp macro="" textlink="">
      <xdr:nvSpPr>
        <xdr:cNvPr id="10" name="TextBox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2900" y="5181600"/>
          <a:ext cx="5943600" cy="12287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Before running the</a:t>
          </a:r>
          <a:r>
            <a:rPr lang="fr-FR" sz="1100" baseline="0"/>
            <a:t> model, make sure that the CATpart and CATproduct are in the same folder as this Excel document, otherwise it won't work. (Note that it won't work if your using a drive folder, the reason is that CATIA do not have the access to your drive)</a:t>
          </a:r>
        </a:p>
        <a:p>
          <a:r>
            <a:rPr lang="fr-FR" sz="1100" baseline="0"/>
            <a:t>Then modify the parameters </a:t>
          </a:r>
          <a:r>
            <a:rPr lang="fr-F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desired</a:t>
          </a:r>
          <a:r>
            <a:rPr lang="fr-FR" sz="1100" baseline="0"/>
            <a:t>, and click on the button "</a:t>
          </a:r>
          <a:r>
            <a:rPr lang="fr-FR" sz="1100" b="1" baseline="0"/>
            <a:t>Update Catia</a:t>
          </a:r>
          <a:r>
            <a:rPr lang="fr-FR" sz="1100" b="0" baseline="0"/>
            <a:t>"</a:t>
          </a:r>
          <a:endParaRPr lang="fr-FR" sz="1100" baseline="0"/>
        </a:p>
        <a:p>
          <a:endParaRPr lang="fr-FR" sz="1100" baseline="0"/>
        </a:p>
        <a:p>
          <a:r>
            <a:rPr lang="fr-FR" sz="1100"/>
            <a:t>If</a:t>
          </a:r>
          <a:r>
            <a:rPr lang="fr-FR" sz="1100" baseline="0"/>
            <a:t> something went wrong make sure that the parameters have plausible values. </a:t>
          </a:r>
          <a:endParaRPr lang="fr-FR" sz="1100"/>
        </a:p>
      </xdr:txBody>
    </xdr:sp>
    <xdr:clientData/>
  </xdr:twoCellAnchor>
  <xdr:twoCellAnchor>
    <xdr:from>
      <xdr:col>0</xdr:col>
      <xdr:colOff>342900</xdr:colOff>
      <xdr:row>34</xdr:row>
      <xdr:rowOff>142875</xdr:rowOff>
    </xdr:from>
    <xdr:to>
      <xdr:col>10</xdr:col>
      <xdr:colOff>190500</xdr:colOff>
      <xdr:row>41</xdr:row>
      <xdr:rowOff>38101</xdr:rowOff>
    </xdr:to>
    <xdr:sp macro="" textlink="">
      <xdr:nvSpPr>
        <xdr:cNvPr id="11" name="TextBox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42900" y="6619875"/>
          <a:ext cx="5943600" cy="12287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Note :</a:t>
          </a:r>
          <a:r>
            <a:rPr lang="fr-FR" sz="1100" b="1" baseline="0"/>
            <a:t> </a:t>
          </a:r>
          <a:r>
            <a:rPr lang="fr-FR" sz="1100" b="0" baseline="0"/>
            <a:t> Make sure to close all the open documents in Catia (not the instance) before running again the model with different parameters.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1727200</xdr:colOff>
          <xdr:row>1</xdr:row>
          <xdr:rowOff>107950</xdr:rowOff>
        </xdr:from>
        <xdr:to>
          <xdr:col>8</xdr:col>
          <xdr:colOff>298450</xdr:colOff>
          <xdr:row>3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CATIA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61040</xdr:colOff>
      <xdr:row>0</xdr:row>
      <xdr:rowOff>72011</xdr:rowOff>
    </xdr:from>
    <xdr:to>
      <xdr:col>1</xdr:col>
      <xdr:colOff>1338649</xdr:colOff>
      <xdr:row>4</xdr:row>
      <xdr:rowOff>26184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040" y="72011"/>
          <a:ext cx="2007001" cy="8637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Creator</a:t>
          </a:r>
          <a:r>
            <a:rPr lang="fr-FR" sz="1100" baseline="0"/>
            <a:t> : Thomas Jaouën </a:t>
          </a:r>
        </a:p>
        <a:p>
          <a:r>
            <a:rPr lang="fr-FR" sz="1100" baseline="0"/>
            <a:t>Last update by : Thomas Jaouën </a:t>
          </a:r>
        </a:p>
        <a:p>
          <a:r>
            <a:rPr lang="fr-FR" sz="1100" baseline="0"/>
            <a:t>Last update date : 07/08/2023</a:t>
          </a:r>
        </a:p>
        <a:p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91F8-C555-4108-9FD1-863746929E9F}">
  <sheetPr codeName="Sheet2"/>
  <dimension ref="A1"/>
  <sheetViews>
    <sheetView showGridLines="0" topLeftCell="A12" workbookViewId="0">
      <selection activeCell="N31" sqref="N31"/>
    </sheetView>
  </sheetViews>
  <sheetFormatPr defaultColWidth="9.1796875"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CFFAE-32C7-450D-A3BA-FFC1AA14CEB5}">
  <sheetPr codeName="Sheet1">
    <pageSetUpPr fitToPage="1"/>
  </sheetPr>
  <dimension ref="A2:M87"/>
  <sheetViews>
    <sheetView tabSelected="1" zoomScale="87" zoomScaleNormal="130" workbookViewId="0">
      <selection activeCell="E33" sqref="E33"/>
    </sheetView>
  </sheetViews>
  <sheetFormatPr defaultColWidth="9.1796875" defaultRowHeight="14.5" x14ac:dyDescent="0.35"/>
  <cols>
    <col min="1" max="1" width="10.453125" customWidth="1"/>
    <col min="2" max="2" width="21" customWidth="1"/>
    <col min="3" max="3" width="18.453125" customWidth="1"/>
    <col min="4" max="4" width="9" style="28" customWidth="1"/>
    <col min="5" max="5" width="6.81640625" style="28" customWidth="1"/>
    <col min="6" max="6" width="30.26953125" customWidth="1"/>
    <col min="9" max="9" width="24.453125" customWidth="1"/>
    <col min="10" max="10" width="19.54296875" customWidth="1"/>
    <col min="11" max="12" width="7.453125" customWidth="1"/>
    <col min="13" max="13" width="36.54296875" customWidth="1"/>
  </cols>
  <sheetData>
    <row r="2" spans="2:13" x14ac:dyDescent="0.35">
      <c r="C2" s="93" t="s">
        <v>13</v>
      </c>
      <c r="D2" s="95"/>
    </row>
    <row r="3" spans="2:13" x14ac:dyDescent="0.35">
      <c r="C3" s="11" t="s">
        <v>14</v>
      </c>
      <c r="D3" s="10"/>
    </row>
    <row r="4" spans="2:13" ht="29" x14ac:dyDescent="0.35">
      <c r="C4" s="11" t="s">
        <v>15</v>
      </c>
      <c r="D4" s="25"/>
    </row>
    <row r="5" spans="2:13" ht="15" thickBot="1" x14ac:dyDescent="0.4"/>
    <row r="6" spans="2:13" x14ac:dyDescent="0.35">
      <c r="B6" s="101" t="s">
        <v>5</v>
      </c>
      <c r="C6" s="102"/>
      <c r="D6" s="102"/>
      <c r="E6" s="102"/>
      <c r="F6" s="103"/>
      <c r="I6" s="96" t="s">
        <v>44</v>
      </c>
      <c r="J6" s="96"/>
      <c r="K6" s="96"/>
      <c r="L6" s="96"/>
      <c r="M6" s="96"/>
    </row>
    <row r="7" spans="2:13" ht="15" thickBot="1" x14ac:dyDescent="0.4">
      <c r="B7" s="66" t="s">
        <v>21</v>
      </c>
      <c r="C7" s="15" t="s">
        <v>22</v>
      </c>
      <c r="D7" s="15" t="s">
        <v>0</v>
      </c>
      <c r="E7" s="15" t="s">
        <v>49</v>
      </c>
      <c r="F7" s="67" t="s">
        <v>17</v>
      </c>
      <c r="I7" s="8" t="s">
        <v>4</v>
      </c>
      <c r="J7" s="8" t="s">
        <v>1</v>
      </c>
      <c r="K7" s="8" t="s">
        <v>0</v>
      </c>
      <c r="L7" s="8" t="s">
        <v>49</v>
      </c>
      <c r="M7" s="8" t="s">
        <v>17</v>
      </c>
    </row>
    <row r="8" spans="2:13" ht="14.25" customHeight="1" x14ac:dyDescent="0.35">
      <c r="B8" s="16" t="s">
        <v>19</v>
      </c>
      <c r="C8" s="17" t="s">
        <v>10</v>
      </c>
      <c r="D8" s="18">
        <v>200</v>
      </c>
      <c r="E8" s="19" t="s">
        <v>50</v>
      </c>
      <c r="F8" s="80"/>
      <c r="I8" s="39" t="s">
        <v>45</v>
      </c>
      <c r="J8" s="40" t="s">
        <v>62</v>
      </c>
      <c r="K8" s="41">
        <v>80</v>
      </c>
      <c r="L8" s="42" t="s">
        <v>50</v>
      </c>
      <c r="M8" s="43" t="s">
        <v>48</v>
      </c>
    </row>
    <row r="9" spans="2:13" x14ac:dyDescent="0.35">
      <c r="B9" s="20" t="s">
        <v>7</v>
      </c>
      <c r="C9" s="6" t="s">
        <v>6</v>
      </c>
      <c r="D9" s="4">
        <v>100</v>
      </c>
      <c r="E9" s="2" t="s">
        <v>50</v>
      </c>
      <c r="F9" s="21"/>
      <c r="I9" s="44" t="s">
        <v>46</v>
      </c>
      <c r="J9" s="1" t="s">
        <v>11</v>
      </c>
      <c r="K9" s="10">
        <v>30</v>
      </c>
      <c r="L9" s="3" t="s">
        <v>50</v>
      </c>
      <c r="M9" s="45"/>
    </row>
    <row r="10" spans="2:13" x14ac:dyDescent="0.35">
      <c r="B10" s="20" t="s">
        <v>8</v>
      </c>
      <c r="C10" s="6" t="s">
        <v>9</v>
      </c>
      <c r="D10" s="4">
        <v>100</v>
      </c>
      <c r="E10" s="2" t="s">
        <v>50</v>
      </c>
      <c r="F10" s="21"/>
      <c r="I10" s="44" t="s">
        <v>47</v>
      </c>
      <c r="J10" s="1" t="s">
        <v>12</v>
      </c>
      <c r="K10" s="10">
        <v>30</v>
      </c>
      <c r="L10" s="3" t="s">
        <v>50</v>
      </c>
      <c r="M10" s="45"/>
    </row>
    <row r="11" spans="2:13" ht="43.5" x14ac:dyDescent="0.35">
      <c r="B11" s="20" t="s">
        <v>2</v>
      </c>
      <c r="C11" s="6" t="s">
        <v>34</v>
      </c>
      <c r="D11" s="4">
        <v>2</v>
      </c>
      <c r="E11" s="2" t="s">
        <v>50</v>
      </c>
      <c r="F11" s="21" t="s">
        <v>43</v>
      </c>
      <c r="I11" s="46" t="s">
        <v>55</v>
      </c>
      <c r="J11" s="1" t="s">
        <v>67</v>
      </c>
      <c r="K11" s="25">
        <v>5000</v>
      </c>
      <c r="L11" s="3" t="s">
        <v>56</v>
      </c>
      <c r="M11" s="35" t="s">
        <v>66</v>
      </c>
    </row>
    <row r="12" spans="2:13" ht="29.5" thickBot="1" x14ac:dyDescent="0.4">
      <c r="B12" s="20" t="s">
        <v>36</v>
      </c>
      <c r="C12" s="6" t="s">
        <v>38</v>
      </c>
      <c r="D12" s="5">
        <f>MAX(3*D20,3*D47)</f>
        <v>6</v>
      </c>
      <c r="E12" s="2" t="s">
        <v>50</v>
      </c>
      <c r="F12" s="21" t="s">
        <v>116</v>
      </c>
      <c r="I12" s="47" t="s">
        <v>58</v>
      </c>
      <c r="J12" s="48" t="s">
        <v>67</v>
      </c>
      <c r="K12" s="49">
        <f>K11*K10*K9*K8*10^-9</f>
        <v>0.36000000000000004</v>
      </c>
      <c r="L12" s="50" t="s">
        <v>65</v>
      </c>
      <c r="M12" s="51" t="s">
        <v>68</v>
      </c>
    </row>
    <row r="13" spans="2:13" ht="29.5" thickBot="1" x14ac:dyDescent="0.4">
      <c r="B13" s="22" t="s">
        <v>63</v>
      </c>
      <c r="C13" s="14" t="s">
        <v>64</v>
      </c>
      <c r="D13" s="24">
        <f>2*D20</f>
        <v>4</v>
      </c>
      <c r="E13" s="15" t="s">
        <v>50</v>
      </c>
      <c r="F13" s="81" t="s">
        <v>135</v>
      </c>
      <c r="M13" s="26"/>
    </row>
    <row r="14" spans="2:13" ht="29" x14ac:dyDescent="0.35">
      <c r="B14" s="16" t="s">
        <v>35</v>
      </c>
      <c r="C14" s="17" t="s">
        <v>37</v>
      </c>
      <c r="D14" s="27">
        <f>D12+D20</f>
        <v>8</v>
      </c>
      <c r="E14" s="19" t="s">
        <v>50</v>
      </c>
      <c r="F14" s="80" t="s">
        <v>42</v>
      </c>
      <c r="I14" s="97" t="s">
        <v>57</v>
      </c>
      <c r="J14" s="97"/>
      <c r="K14" s="97"/>
      <c r="L14" s="97"/>
      <c r="M14" s="97"/>
    </row>
    <row r="15" spans="2:13" ht="29.5" thickBot="1" x14ac:dyDescent="0.4">
      <c r="B15" s="20" t="s">
        <v>24</v>
      </c>
      <c r="C15" s="6" t="s">
        <v>29</v>
      </c>
      <c r="D15" s="4">
        <v>6</v>
      </c>
      <c r="E15" s="2" t="s">
        <v>51</v>
      </c>
      <c r="F15" s="21" t="s">
        <v>18</v>
      </c>
      <c r="I15" s="8" t="s">
        <v>4</v>
      </c>
      <c r="J15" s="8" t="s">
        <v>1</v>
      </c>
      <c r="K15" s="8" t="s">
        <v>0</v>
      </c>
      <c r="L15" s="8" t="s">
        <v>49</v>
      </c>
      <c r="M15" s="8" t="s">
        <v>17</v>
      </c>
    </row>
    <row r="16" spans="2:13" ht="29" x14ac:dyDescent="0.35">
      <c r="B16" s="20" t="s">
        <v>30</v>
      </c>
      <c r="C16" s="6" t="s">
        <v>31</v>
      </c>
      <c r="D16" s="9">
        <f>(D10-2*D14)/(D15-1)</f>
        <v>16.8</v>
      </c>
      <c r="E16" s="12" t="s">
        <v>50</v>
      </c>
      <c r="F16" s="21" t="s">
        <v>136</v>
      </c>
      <c r="I16" s="71" t="s">
        <v>52</v>
      </c>
      <c r="J16" s="52" t="s">
        <v>59</v>
      </c>
      <c r="K16" s="41">
        <v>10</v>
      </c>
      <c r="L16" s="42" t="s">
        <v>50</v>
      </c>
      <c r="M16" s="53"/>
    </row>
    <row r="17" spans="1:13" ht="29" x14ac:dyDescent="0.35">
      <c r="B17" s="20" t="s">
        <v>23</v>
      </c>
      <c r="C17" s="6" t="s">
        <v>28</v>
      </c>
      <c r="D17" s="4">
        <v>6</v>
      </c>
      <c r="E17" s="2" t="s">
        <v>51</v>
      </c>
      <c r="F17" s="21"/>
      <c r="I17" s="72" t="s">
        <v>53</v>
      </c>
      <c r="J17" s="13" t="s">
        <v>60</v>
      </c>
      <c r="K17" s="10">
        <v>10</v>
      </c>
      <c r="L17" s="3" t="s">
        <v>50</v>
      </c>
      <c r="M17" s="54"/>
    </row>
    <row r="18" spans="1:13" ht="29.5" thickBot="1" x14ac:dyDescent="0.4">
      <c r="B18" s="20" t="s">
        <v>32</v>
      </c>
      <c r="C18" s="6" t="s">
        <v>33</v>
      </c>
      <c r="D18" s="5">
        <f>(D9-2*D14)/(D17-1)</f>
        <v>16.8</v>
      </c>
      <c r="E18" s="2" t="s">
        <v>50</v>
      </c>
      <c r="F18" s="21" t="s">
        <v>137</v>
      </c>
      <c r="I18" s="73" t="s">
        <v>54</v>
      </c>
      <c r="J18" s="55" t="s">
        <v>61</v>
      </c>
      <c r="K18" s="56">
        <v>10</v>
      </c>
      <c r="L18" s="50" t="s">
        <v>50</v>
      </c>
      <c r="M18" s="57"/>
    </row>
    <row r="19" spans="1:13" ht="43.5" x14ac:dyDescent="0.35">
      <c r="B19" s="20" t="s">
        <v>39</v>
      </c>
      <c r="C19" s="6" t="s">
        <v>25</v>
      </c>
      <c r="D19" s="4" t="s">
        <v>40</v>
      </c>
      <c r="E19" s="2"/>
      <c r="F19" s="21" t="s">
        <v>98</v>
      </c>
    </row>
    <row r="20" spans="1:13" ht="29" x14ac:dyDescent="0.35">
      <c r="B20" s="20" t="s">
        <v>20</v>
      </c>
      <c r="C20" s="6" t="s">
        <v>113</v>
      </c>
      <c r="D20" s="5" t="str">
        <f>MID(D19,2,LEN(D19)-1)</f>
        <v>2</v>
      </c>
      <c r="E20" s="2" t="s">
        <v>50</v>
      </c>
      <c r="F20" s="21" t="s">
        <v>41</v>
      </c>
    </row>
    <row r="21" spans="1:13" ht="29.5" thickBot="1" x14ac:dyDescent="0.4">
      <c r="B21" s="64" t="s">
        <v>27</v>
      </c>
      <c r="C21" s="65" t="s">
        <v>26</v>
      </c>
      <c r="D21" s="58">
        <v>10</v>
      </c>
      <c r="E21" s="7" t="s">
        <v>50</v>
      </c>
      <c r="F21" s="82"/>
    </row>
    <row r="22" spans="1:13" ht="29.5" thickBot="1" x14ac:dyDescent="0.4">
      <c r="B22" s="61" t="s">
        <v>125</v>
      </c>
      <c r="C22" s="62" t="s">
        <v>126</v>
      </c>
      <c r="D22" s="83">
        <f>D12</f>
        <v>6</v>
      </c>
      <c r="E22" s="84" t="s">
        <v>50</v>
      </c>
      <c r="F22" s="63" t="s">
        <v>138</v>
      </c>
    </row>
    <row r="27" spans="1:13" x14ac:dyDescent="0.35">
      <c r="A27" s="26"/>
      <c r="B27" s="98" t="s">
        <v>3</v>
      </c>
      <c r="C27" s="98"/>
      <c r="D27" s="98"/>
      <c r="E27" s="98"/>
      <c r="F27" s="98"/>
      <c r="I27" s="96" t="s">
        <v>99</v>
      </c>
      <c r="J27" s="96"/>
      <c r="K27" s="96"/>
      <c r="L27" s="96"/>
      <c r="M27" s="96"/>
    </row>
    <row r="28" spans="1:13" ht="15" thickBot="1" x14ac:dyDescent="0.4">
      <c r="A28" s="26"/>
      <c r="B28" s="30" t="s">
        <v>21</v>
      </c>
      <c r="C28" s="30" t="s">
        <v>69</v>
      </c>
      <c r="D28" s="7" t="s">
        <v>70</v>
      </c>
      <c r="E28" s="7" t="s">
        <v>49</v>
      </c>
      <c r="F28" s="30" t="s">
        <v>17</v>
      </c>
      <c r="I28" s="60" t="s">
        <v>21</v>
      </c>
      <c r="J28" s="60" t="s">
        <v>69</v>
      </c>
      <c r="K28" s="8" t="s">
        <v>0</v>
      </c>
      <c r="L28" s="8" t="s">
        <v>49</v>
      </c>
      <c r="M28" s="60" t="s">
        <v>17</v>
      </c>
    </row>
    <row r="29" spans="1:13" x14ac:dyDescent="0.35">
      <c r="A29" s="26"/>
      <c r="B29" s="31" t="s">
        <v>73</v>
      </c>
      <c r="C29" s="32" t="s">
        <v>71</v>
      </c>
      <c r="D29" s="18">
        <v>100</v>
      </c>
      <c r="E29" s="19" t="s">
        <v>50</v>
      </c>
      <c r="F29" s="33"/>
      <c r="I29" s="31" t="s">
        <v>95</v>
      </c>
      <c r="J29" s="19" t="s">
        <v>92</v>
      </c>
      <c r="K29" s="18">
        <v>20</v>
      </c>
      <c r="L29" s="19" t="s">
        <v>50</v>
      </c>
      <c r="M29" s="33"/>
    </row>
    <row r="30" spans="1:13" x14ac:dyDescent="0.35">
      <c r="A30" s="26"/>
      <c r="B30" s="34" t="s">
        <v>74</v>
      </c>
      <c r="C30" s="11" t="s">
        <v>76</v>
      </c>
      <c r="D30" s="5">
        <f>D9</f>
        <v>100</v>
      </c>
      <c r="E30" s="2" t="s">
        <v>50</v>
      </c>
      <c r="F30" s="35" t="s">
        <v>82</v>
      </c>
      <c r="I30" s="34" t="s">
        <v>96</v>
      </c>
      <c r="J30" s="2" t="s">
        <v>93</v>
      </c>
      <c r="K30" s="4">
        <v>20</v>
      </c>
      <c r="L30" s="2" t="s">
        <v>50</v>
      </c>
      <c r="M30" s="35"/>
    </row>
    <row r="31" spans="1:13" ht="15" thickBot="1" x14ac:dyDescent="0.4">
      <c r="A31" s="26"/>
      <c r="B31" s="34" t="s">
        <v>75</v>
      </c>
      <c r="C31" s="11" t="s">
        <v>72</v>
      </c>
      <c r="D31" s="5">
        <f>D10</f>
        <v>100</v>
      </c>
      <c r="E31" s="2" t="s">
        <v>50</v>
      </c>
      <c r="F31" s="35" t="s">
        <v>82</v>
      </c>
      <c r="I31" s="36" t="s">
        <v>97</v>
      </c>
      <c r="J31" s="15" t="s">
        <v>94</v>
      </c>
      <c r="K31" s="23">
        <v>20</v>
      </c>
      <c r="L31" s="15" t="s">
        <v>50</v>
      </c>
      <c r="M31" s="38"/>
    </row>
    <row r="32" spans="1:13" x14ac:dyDescent="0.35">
      <c r="A32" s="26"/>
      <c r="B32" s="34" t="s">
        <v>77</v>
      </c>
      <c r="C32" s="11" t="s">
        <v>78</v>
      </c>
      <c r="D32" s="4">
        <v>2</v>
      </c>
      <c r="E32" s="2" t="s">
        <v>50</v>
      </c>
      <c r="F32" s="35"/>
    </row>
    <row r="33" spans="1:13" ht="43.5" x14ac:dyDescent="0.35">
      <c r="A33" s="26"/>
      <c r="B33" s="34" t="s">
        <v>155</v>
      </c>
      <c r="C33" s="11" t="s">
        <v>81</v>
      </c>
      <c r="D33" s="5" t="str">
        <f>D19</f>
        <v>M2</v>
      </c>
      <c r="E33" s="2" t="s">
        <v>83</v>
      </c>
      <c r="F33" s="35" t="s">
        <v>82</v>
      </c>
      <c r="I33" s="96" t="s">
        <v>91</v>
      </c>
      <c r="J33" s="96"/>
      <c r="K33" s="96"/>
      <c r="L33" s="96"/>
      <c r="M33" s="96"/>
    </row>
    <row r="34" spans="1:13" ht="29.5" thickBot="1" x14ac:dyDescent="0.4">
      <c r="A34" s="26"/>
      <c r="B34" s="34"/>
      <c r="C34" s="11" t="s">
        <v>79</v>
      </c>
      <c r="D34" s="5" t="str">
        <f>D20</f>
        <v>2</v>
      </c>
      <c r="E34" s="2" t="s">
        <v>50</v>
      </c>
      <c r="F34" s="35" t="s">
        <v>82</v>
      </c>
      <c r="I34" s="60" t="s">
        <v>21</v>
      </c>
      <c r="J34" s="60" t="s">
        <v>69</v>
      </c>
      <c r="K34" s="8" t="s">
        <v>0</v>
      </c>
      <c r="L34" s="8" t="s">
        <v>49</v>
      </c>
      <c r="M34" s="60" t="s">
        <v>17</v>
      </c>
    </row>
    <row r="35" spans="1:13" ht="29.5" thickBot="1" x14ac:dyDescent="0.4">
      <c r="A35" s="26"/>
      <c r="B35" s="36" t="s">
        <v>154</v>
      </c>
      <c r="C35" s="37" t="s">
        <v>80</v>
      </c>
      <c r="D35" s="23">
        <v>10</v>
      </c>
      <c r="E35" s="15" t="s">
        <v>50</v>
      </c>
      <c r="F35" s="38" t="s">
        <v>84</v>
      </c>
      <c r="I35" s="31" t="s">
        <v>85</v>
      </c>
      <c r="J35" s="19" t="s">
        <v>88</v>
      </c>
      <c r="K35" s="18">
        <v>20</v>
      </c>
      <c r="L35" s="19" t="s">
        <v>50</v>
      </c>
      <c r="M35" s="33"/>
    </row>
    <row r="36" spans="1:13" ht="29" x14ac:dyDescent="0.35">
      <c r="A36" s="26"/>
      <c r="B36" s="26"/>
      <c r="C36" s="26"/>
      <c r="D36" s="29"/>
      <c r="E36" s="29"/>
      <c r="F36" s="26"/>
      <c r="I36" s="34" t="s">
        <v>86</v>
      </c>
      <c r="J36" s="2" t="s">
        <v>89</v>
      </c>
      <c r="K36" s="4">
        <v>20</v>
      </c>
      <c r="L36" s="2" t="s">
        <v>50</v>
      </c>
      <c r="M36" s="35"/>
    </row>
    <row r="37" spans="1:13" ht="29.5" thickBot="1" x14ac:dyDescent="0.4">
      <c r="I37" s="36" t="s">
        <v>87</v>
      </c>
      <c r="J37" s="15" t="s">
        <v>90</v>
      </c>
      <c r="K37" s="23">
        <v>20</v>
      </c>
      <c r="L37" s="15" t="s">
        <v>50</v>
      </c>
      <c r="M37" s="38"/>
    </row>
    <row r="41" spans="1:13" x14ac:dyDescent="0.35">
      <c r="B41" s="100" t="s">
        <v>100</v>
      </c>
      <c r="C41" s="100"/>
      <c r="D41" s="100"/>
      <c r="E41" s="100"/>
      <c r="F41" s="100"/>
      <c r="I41" s="93" t="s">
        <v>16</v>
      </c>
      <c r="J41" s="94"/>
      <c r="K41" s="94"/>
      <c r="L41" s="94"/>
      <c r="M41" s="95"/>
    </row>
    <row r="42" spans="1:13" ht="15" thickBot="1" x14ac:dyDescent="0.4">
      <c r="B42" s="7" t="s">
        <v>21</v>
      </c>
      <c r="C42" s="7" t="s">
        <v>69</v>
      </c>
      <c r="D42" s="7" t="s">
        <v>70</v>
      </c>
      <c r="E42" s="7" t="s">
        <v>49</v>
      </c>
      <c r="F42" s="7" t="s">
        <v>17</v>
      </c>
      <c r="I42" s="60" t="s">
        <v>21</v>
      </c>
      <c r="J42" s="60" t="s">
        <v>69</v>
      </c>
      <c r="K42" s="8" t="s">
        <v>0</v>
      </c>
      <c r="L42" s="8" t="s">
        <v>49</v>
      </c>
      <c r="M42" s="60" t="s">
        <v>17</v>
      </c>
    </row>
    <row r="43" spans="1:13" ht="43.5" x14ac:dyDescent="0.35">
      <c r="B43" s="71" t="s">
        <v>148</v>
      </c>
      <c r="C43" s="86" t="s">
        <v>101</v>
      </c>
      <c r="D43" s="18">
        <v>30</v>
      </c>
      <c r="E43" s="19" t="s">
        <v>50</v>
      </c>
      <c r="F43" s="87"/>
      <c r="I43" s="31" t="s">
        <v>127</v>
      </c>
      <c r="J43" s="19" t="s">
        <v>130</v>
      </c>
      <c r="K43" s="18">
        <v>40</v>
      </c>
      <c r="L43" s="19" t="s">
        <v>50</v>
      </c>
      <c r="M43" s="68" t="s">
        <v>134</v>
      </c>
    </row>
    <row r="44" spans="1:13" ht="29" x14ac:dyDescent="0.35">
      <c r="B44" s="72" t="s">
        <v>149</v>
      </c>
      <c r="C44" s="85" t="s">
        <v>102</v>
      </c>
      <c r="D44" s="4">
        <v>20</v>
      </c>
      <c r="E44" s="2" t="s">
        <v>50</v>
      </c>
      <c r="F44" s="88"/>
      <c r="I44" s="34" t="s">
        <v>129</v>
      </c>
      <c r="J44" s="2" t="s">
        <v>131</v>
      </c>
      <c r="K44" s="4">
        <v>70</v>
      </c>
      <c r="L44" s="2" t="s">
        <v>50</v>
      </c>
      <c r="M44" s="69" t="s">
        <v>134</v>
      </c>
    </row>
    <row r="45" spans="1:13" ht="29.5" thickBot="1" x14ac:dyDescent="0.4">
      <c r="B45" s="72" t="s">
        <v>150</v>
      </c>
      <c r="C45" s="85" t="s">
        <v>103</v>
      </c>
      <c r="D45" s="4">
        <v>5</v>
      </c>
      <c r="E45" s="2" t="s">
        <v>50</v>
      </c>
      <c r="F45" s="88"/>
      <c r="I45" s="36" t="s">
        <v>128</v>
      </c>
      <c r="J45" s="15" t="s">
        <v>132</v>
      </c>
      <c r="K45" s="23">
        <v>60</v>
      </c>
      <c r="L45" s="15" t="s">
        <v>133</v>
      </c>
      <c r="M45" s="70" t="s">
        <v>134</v>
      </c>
    </row>
    <row r="46" spans="1:13" ht="29" x14ac:dyDescent="0.35">
      <c r="B46" s="72" t="s">
        <v>151</v>
      </c>
      <c r="C46" s="85" t="s">
        <v>115</v>
      </c>
      <c r="D46" s="4" t="s">
        <v>40</v>
      </c>
      <c r="E46" s="2"/>
      <c r="F46" s="88"/>
    </row>
    <row r="47" spans="1:13" x14ac:dyDescent="0.35">
      <c r="B47" s="72"/>
      <c r="C47" s="85" t="s">
        <v>104</v>
      </c>
      <c r="D47" s="5" t="str">
        <f>MID(D46,2,LEN(D46)-1)</f>
        <v>2</v>
      </c>
      <c r="E47" s="2" t="s">
        <v>50</v>
      </c>
      <c r="F47" s="88" t="s">
        <v>139</v>
      </c>
    </row>
    <row r="48" spans="1:13" ht="29" x14ac:dyDescent="0.35">
      <c r="B48" s="72" t="s">
        <v>152</v>
      </c>
      <c r="C48" s="85" t="s">
        <v>105</v>
      </c>
      <c r="D48" s="4">
        <v>5</v>
      </c>
      <c r="E48" s="2" t="s">
        <v>50</v>
      </c>
      <c r="F48" s="88"/>
    </row>
    <row r="49" spans="2:6" ht="29" x14ac:dyDescent="0.35">
      <c r="B49" s="72" t="s">
        <v>153</v>
      </c>
      <c r="C49" s="85" t="s">
        <v>112</v>
      </c>
      <c r="D49" s="4" t="s">
        <v>111</v>
      </c>
      <c r="E49" s="2" t="s">
        <v>50</v>
      </c>
      <c r="F49" s="88"/>
    </row>
    <row r="50" spans="2:6" ht="15" thickBot="1" x14ac:dyDescent="0.4">
      <c r="B50" s="73"/>
      <c r="C50" s="89" t="s">
        <v>106</v>
      </c>
      <c r="D50" s="24" t="str">
        <f>MID(D49,2,LEN(D49)-1)</f>
        <v>4</v>
      </c>
      <c r="E50" s="15" t="s">
        <v>50</v>
      </c>
      <c r="F50" s="90" t="s">
        <v>139</v>
      </c>
    </row>
    <row r="51" spans="2:6" x14ac:dyDescent="0.35">
      <c r="B51" s="59"/>
      <c r="C51" s="59"/>
      <c r="D51" s="59"/>
      <c r="E51" s="59"/>
      <c r="F51" s="59"/>
    </row>
    <row r="54" spans="2:6" x14ac:dyDescent="0.35">
      <c r="B54" s="100" t="s">
        <v>107</v>
      </c>
      <c r="C54" s="100"/>
      <c r="D54" s="100"/>
      <c r="E54" s="100"/>
      <c r="F54" s="100"/>
    </row>
    <row r="55" spans="2:6" ht="15" thickBot="1" x14ac:dyDescent="0.4">
      <c r="B55" s="7" t="s">
        <v>21</v>
      </c>
      <c r="C55" s="7" t="s">
        <v>69</v>
      </c>
      <c r="D55" s="7" t="s">
        <v>70</v>
      </c>
      <c r="E55" s="7" t="s">
        <v>49</v>
      </c>
      <c r="F55" s="7" t="s">
        <v>17</v>
      </c>
    </row>
    <row r="56" spans="2:6" x14ac:dyDescent="0.35">
      <c r="B56" s="31" t="s">
        <v>143</v>
      </c>
      <c r="C56" s="32" t="s">
        <v>108</v>
      </c>
      <c r="D56" s="18">
        <v>500</v>
      </c>
      <c r="E56" s="19" t="s">
        <v>50</v>
      </c>
      <c r="F56" s="33"/>
    </row>
    <row r="57" spans="2:6" ht="29" x14ac:dyDescent="0.35">
      <c r="B57" s="34" t="s">
        <v>144</v>
      </c>
      <c r="C57" s="11" t="s">
        <v>110</v>
      </c>
      <c r="D57" s="4">
        <v>500</v>
      </c>
      <c r="E57" s="2" t="s">
        <v>50</v>
      </c>
      <c r="F57" s="88" t="s">
        <v>140</v>
      </c>
    </row>
    <row r="58" spans="2:6" x14ac:dyDescent="0.35">
      <c r="B58" s="34" t="s">
        <v>145</v>
      </c>
      <c r="C58" s="11" t="s">
        <v>109</v>
      </c>
      <c r="D58" s="4">
        <v>2</v>
      </c>
      <c r="E58" s="2" t="s">
        <v>50</v>
      </c>
      <c r="F58" s="35"/>
    </row>
    <row r="59" spans="2:6" ht="43.5" x14ac:dyDescent="0.35">
      <c r="B59" s="34" t="s">
        <v>146</v>
      </c>
      <c r="C59" s="11" t="s">
        <v>122</v>
      </c>
      <c r="D59" s="4">
        <v>50</v>
      </c>
      <c r="E59" s="2" t="s">
        <v>50</v>
      </c>
      <c r="F59" s="35" t="s">
        <v>124</v>
      </c>
    </row>
    <row r="60" spans="2:6" ht="44" thickBot="1" x14ac:dyDescent="0.4">
      <c r="B60" s="36" t="s">
        <v>147</v>
      </c>
      <c r="C60" s="37" t="s">
        <v>123</v>
      </c>
      <c r="D60" s="23">
        <v>50</v>
      </c>
      <c r="E60" s="15" t="s">
        <v>50</v>
      </c>
      <c r="F60" s="38" t="s">
        <v>141</v>
      </c>
    </row>
    <row r="62" spans="2:6" ht="15" thickBot="1" x14ac:dyDescent="0.4">
      <c r="B62" s="8" t="s">
        <v>21</v>
      </c>
      <c r="C62" s="8" t="s">
        <v>69</v>
      </c>
      <c r="D62" s="8" t="s">
        <v>0</v>
      </c>
      <c r="E62" s="8" t="s">
        <v>49</v>
      </c>
      <c r="F62" s="8" t="s">
        <v>17</v>
      </c>
    </row>
    <row r="63" spans="2:6" ht="29" x14ac:dyDescent="0.35">
      <c r="B63" s="91" t="s">
        <v>157</v>
      </c>
      <c r="C63" s="19" t="s">
        <v>121</v>
      </c>
      <c r="D63" s="27">
        <f>D21+(3/2)*D47</f>
        <v>13</v>
      </c>
      <c r="E63" s="19" t="s">
        <v>50</v>
      </c>
      <c r="F63" s="68" t="s">
        <v>156</v>
      </c>
    </row>
    <row r="64" spans="2:6" ht="29" x14ac:dyDescent="0.35">
      <c r="B64" s="92" t="s">
        <v>158</v>
      </c>
      <c r="C64" s="2" t="s">
        <v>117</v>
      </c>
      <c r="D64" s="4">
        <v>2</v>
      </c>
      <c r="E64" s="2" t="s">
        <v>114</v>
      </c>
      <c r="F64" s="99" t="s">
        <v>142</v>
      </c>
    </row>
    <row r="65" spans="2:6" ht="29" x14ac:dyDescent="0.35">
      <c r="B65" s="92" t="s">
        <v>159</v>
      </c>
      <c r="C65" s="2" t="s">
        <v>118</v>
      </c>
      <c r="D65" s="4">
        <v>2</v>
      </c>
      <c r="E65" s="2" t="s">
        <v>114</v>
      </c>
      <c r="F65" s="99"/>
    </row>
    <row r="66" spans="2:6" ht="29" x14ac:dyDescent="0.35">
      <c r="B66" s="92" t="s">
        <v>160</v>
      </c>
      <c r="C66" s="2" t="s">
        <v>119</v>
      </c>
      <c r="D66" s="5">
        <f>((D8-2*D13)-2*D63)/(D64-1)</f>
        <v>166</v>
      </c>
      <c r="E66" s="2"/>
      <c r="F66" s="69" t="s">
        <v>162</v>
      </c>
    </row>
    <row r="67" spans="2:6" ht="29.5" thickBot="1" x14ac:dyDescent="0.4">
      <c r="B67" s="66" t="s">
        <v>161</v>
      </c>
      <c r="C67" s="15" t="s">
        <v>120</v>
      </c>
      <c r="D67" s="24">
        <f>(D10-D22)/(D65-1)</f>
        <v>94</v>
      </c>
      <c r="E67" s="15"/>
      <c r="F67" s="70" t="s">
        <v>162</v>
      </c>
    </row>
    <row r="74" spans="2:6" x14ac:dyDescent="0.35">
      <c r="B74" s="74"/>
      <c r="C74" s="74"/>
      <c r="D74" s="75"/>
      <c r="E74" s="75"/>
      <c r="F74" s="74"/>
    </row>
    <row r="75" spans="2:6" x14ac:dyDescent="0.35">
      <c r="B75" s="74"/>
      <c r="C75" s="74"/>
      <c r="D75" s="75"/>
      <c r="E75" s="75"/>
      <c r="F75" s="74"/>
    </row>
    <row r="76" spans="2:6" x14ac:dyDescent="0.35">
      <c r="B76" s="76"/>
      <c r="C76" s="76"/>
      <c r="D76" s="77"/>
      <c r="E76" s="77"/>
      <c r="F76" s="78"/>
    </row>
    <row r="77" spans="2:6" x14ac:dyDescent="0.35">
      <c r="B77" s="76"/>
      <c r="C77" s="76"/>
      <c r="D77" s="77"/>
      <c r="E77" s="77"/>
      <c r="F77" s="78"/>
    </row>
    <row r="78" spans="2:6" x14ac:dyDescent="0.35">
      <c r="B78" s="76"/>
      <c r="C78" s="76"/>
      <c r="D78" s="77"/>
      <c r="E78" s="77"/>
      <c r="F78" s="78"/>
    </row>
    <row r="79" spans="2:6" x14ac:dyDescent="0.35">
      <c r="B79" s="76"/>
      <c r="C79" s="76"/>
      <c r="D79" s="77"/>
      <c r="E79" s="77"/>
      <c r="F79" s="78"/>
    </row>
    <row r="80" spans="2:6" x14ac:dyDescent="0.35">
      <c r="B80" s="76"/>
      <c r="C80" s="76"/>
      <c r="D80" s="77"/>
      <c r="E80" s="77"/>
      <c r="F80" s="78"/>
    </row>
    <row r="81" spans="2:6" x14ac:dyDescent="0.35">
      <c r="B81" s="76"/>
      <c r="C81" s="76"/>
      <c r="D81" s="77"/>
      <c r="E81" s="77"/>
      <c r="F81" s="78"/>
    </row>
    <row r="82" spans="2:6" x14ac:dyDescent="0.35">
      <c r="B82" s="76"/>
      <c r="C82" s="76"/>
      <c r="D82" s="77"/>
      <c r="E82" s="77"/>
      <c r="F82" s="78"/>
    </row>
    <row r="83" spans="2:6" x14ac:dyDescent="0.35">
      <c r="B83" s="76"/>
      <c r="C83" s="76"/>
      <c r="D83" s="75"/>
      <c r="E83" s="75"/>
      <c r="F83" s="78"/>
    </row>
    <row r="84" spans="2:6" x14ac:dyDescent="0.35">
      <c r="B84" s="76"/>
      <c r="C84" s="78"/>
      <c r="D84" s="75"/>
      <c r="E84" s="75"/>
      <c r="F84" s="78"/>
    </row>
    <row r="85" spans="2:6" x14ac:dyDescent="0.35">
      <c r="B85" s="76"/>
      <c r="C85" s="74"/>
      <c r="D85" s="75"/>
      <c r="E85" s="75"/>
      <c r="F85" s="79"/>
    </row>
    <row r="86" spans="2:6" x14ac:dyDescent="0.35">
      <c r="B86" s="74"/>
      <c r="C86" s="74"/>
      <c r="D86" s="75"/>
      <c r="E86" s="75"/>
      <c r="F86" s="74"/>
    </row>
    <row r="87" spans="2:6" x14ac:dyDescent="0.35">
      <c r="B87" s="74"/>
      <c r="C87" s="74"/>
      <c r="D87" s="75"/>
      <c r="E87" s="75"/>
      <c r="F87" s="74"/>
    </row>
  </sheetData>
  <mergeCells count="11">
    <mergeCell ref="F64:F65"/>
    <mergeCell ref="B41:F41"/>
    <mergeCell ref="B54:F54"/>
    <mergeCell ref="C2:D2"/>
    <mergeCell ref="B6:F6"/>
    <mergeCell ref="I41:M41"/>
    <mergeCell ref="I6:M6"/>
    <mergeCell ref="I14:M14"/>
    <mergeCell ref="B27:F27"/>
    <mergeCell ref="I33:M33"/>
    <mergeCell ref="I27:M27"/>
  </mergeCells>
  <dataValidations disablePrompts="1" count="2">
    <dataValidation type="list" allowBlank="1" showInputMessage="1" showErrorMessage="1" sqref="D82:E82" xr:uid="{EAB3E401-4B78-4B52-8BA5-52C80BADCF92}">
      <formula1>"60,55,50,45,40"</formula1>
    </dataValidation>
    <dataValidation type="list" allowBlank="1" showInputMessage="1" showErrorMessage="1" sqref="D80:E81" xr:uid="{21D12102-F683-4FBB-AE12-90A4EDA6811B}">
      <formula1>$K$34:$K$34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ifierParametresCATIA">
                <anchor moveWithCells="1">
                  <from>
                    <xdr:col>5</xdr:col>
                    <xdr:colOff>1727200</xdr:colOff>
                    <xdr:row>1</xdr:row>
                    <xdr:rowOff>107950</xdr:rowOff>
                  </from>
                  <to>
                    <xdr:col>8</xdr:col>
                    <xdr:colOff>298450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400B9-200F-4FC0-8E22-EB91D0386CE8}">
  <sheetPr codeName="Feuil1"/>
  <dimension ref="A1"/>
  <sheetViews>
    <sheetView workbookViewId="0">
      <selection activeCell="E37" sqref="E37"/>
    </sheetView>
  </sheetViews>
  <sheetFormatPr defaultColWidth="10.8164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&amp;README&amp;</vt:lpstr>
      <vt:lpstr>Parameters</vt:lpstr>
      <vt:lpstr>Predefined values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Mael Renault</dc:creator>
  <cp:lastModifiedBy>Thomas Jaouën</cp:lastModifiedBy>
  <cp:lastPrinted>2023-08-08T14:55:48Z</cp:lastPrinted>
  <dcterms:created xsi:type="dcterms:W3CDTF">2023-03-18T09:53:29Z</dcterms:created>
  <dcterms:modified xsi:type="dcterms:W3CDTF">2023-08-08T14:56:02Z</dcterms:modified>
</cp:coreProperties>
</file>